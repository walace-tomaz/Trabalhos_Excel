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va" sheetId="1" r:id="rId5"/>
    <sheet state="visible" name="GRUPO 1" sheetId="2" r:id="rId6"/>
  </sheets>
  <definedNames/>
  <calcPr/>
</workbook>
</file>

<file path=xl/sharedStrings.xml><?xml version="1.0" encoding="utf-8"?>
<sst xmlns="http://schemas.openxmlformats.org/spreadsheetml/2006/main" count="231" uniqueCount="31">
  <si>
    <t>Massa(Kg):</t>
  </si>
  <si>
    <t>Largura(cm):</t>
  </si>
  <si>
    <t>Erro Balança:</t>
  </si>
  <si>
    <t>Erro Paquimetro:</t>
  </si>
  <si>
    <t>Erro Cronometro</t>
  </si>
  <si>
    <t>Mola de Pet</t>
  </si>
  <si>
    <t>Distancia 1</t>
  </si>
  <si>
    <t>T1i</t>
  </si>
  <si>
    <t>T1f</t>
  </si>
  <si>
    <t>Distancia 2</t>
  </si>
  <si>
    <t>T2i</t>
  </si>
  <si>
    <t>T2f</t>
  </si>
  <si>
    <t>Distancia 3</t>
  </si>
  <si>
    <t>T3i</t>
  </si>
  <si>
    <t>T3f</t>
  </si>
  <si>
    <t>170 cm</t>
  </si>
  <si>
    <t>110 cm</t>
  </si>
  <si>
    <t>70 cm</t>
  </si>
  <si>
    <t>▲K</t>
  </si>
  <si>
    <t>Media</t>
  </si>
  <si>
    <t>Desvio padrao</t>
  </si>
  <si>
    <t>D. P . da Media</t>
  </si>
  <si>
    <t>Incerteza</t>
  </si>
  <si>
    <t>Velocidade(m/s)</t>
  </si>
  <si>
    <t>E. Cinetica(J)</t>
  </si>
  <si>
    <t>Mola elastica</t>
  </si>
  <si>
    <t>Mola de Ferro</t>
  </si>
  <si>
    <t>X</t>
  </si>
  <si>
    <t>Y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</si>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</sst>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6D3BA"/>
          <bgColor rgb="FFE6D3BA"/>
        </patternFill>
      </fill>
      <border/>
    </dxf>
  </dxfs>
  <tableStyles count="4">
    <tableStyle count="3" pivot="0" name="Definitiva-style">
      <tableStyleElement dxfId="1" type="headerRow"/>
      <tableStyleElement dxfId="2" type="firstRowStripe"/>
      <tableStyleElement dxfId="3" type="secondRowStripe"/>
    </tableStyle>
    <tableStyle count="4" pivot="0" name="Definitiva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efinitiva-style 3">
      <tableStyleElement dxfId="5" type="headerRow"/>
      <tableStyleElement dxfId="2" type="firstRowStripe"/>
      <tableStyleElement dxfId="6" type="secondRowStripe"/>
      <tableStyleElement dxfId="7" type="totalRow"/>
    </tableStyle>
    <tableStyle count="4" pivot="0" name="Definitiva-style 4">
      <tableStyleElement dxfId="8" type="headerRow"/>
      <tableStyleElement dxfId="2" type="firstRowStripe"/>
      <tableStyleElement dxfId="9" type="secondRowStripe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2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efinitiv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A4:M23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efinitiv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headerRowCount="0" ref="A24:M43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efinitiv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totalsRowCount="1" headerRowCount="0" ref="A44:M63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efinitiv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7.11"/>
    <col customWidth="1" min="5" max="5" width="11.56"/>
    <col customWidth="1" min="8" max="8" width="11.89"/>
  </cols>
  <sheetData>
    <row r="1">
      <c r="A1" s="1"/>
      <c r="B1" s="1"/>
      <c r="C1" s="2" t="s">
        <v>0</v>
      </c>
      <c r="D1" s="2">
        <v>0.41132</v>
      </c>
      <c r="E1" s="2" t="s">
        <v>1</v>
      </c>
      <c r="F1" s="3">
        <v>0.1</v>
      </c>
      <c r="G1" s="1"/>
      <c r="H1" s="1"/>
      <c r="I1" s="1"/>
      <c r="J1" s="1"/>
      <c r="K1" s="1"/>
      <c r="L1" s="1"/>
      <c r="M1" s="1"/>
    </row>
    <row r="2">
      <c r="A2" s="1"/>
      <c r="B2" s="1"/>
      <c r="C2" s="2" t="s">
        <v>2</v>
      </c>
      <c r="D2" s="2">
        <v>1.0E-5</v>
      </c>
      <c r="E2" s="2" t="s">
        <v>3</v>
      </c>
      <c r="F2" s="2">
        <v>5.0E-5</v>
      </c>
      <c r="G2" s="1"/>
      <c r="H2" s="2" t="s">
        <v>4</v>
      </c>
      <c r="I2" s="2">
        <v>0.001</v>
      </c>
      <c r="J2" s="1"/>
      <c r="K2" s="1"/>
      <c r="L2" s="1"/>
      <c r="M2" s="1"/>
    </row>
    <row r="4">
      <c r="A4" s="2" t="s">
        <v>5</v>
      </c>
      <c r="B4" s="2" t="s">
        <v>6</v>
      </c>
      <c r="C4" s="1"/>
      <c r="D4" s="2" t="s">
        <v>7</v>
      </c>
      <c r="E4" s="2" t="s">
        <v>8</v>
      </c>
      <c r="F4" s="2" t="s">
        <v>9</v>
      </c>
      <c r="G4" s="1"/>
      <c r="H4" s="2" t="s">
        <v>10</v>
      </c>
      <c r="I4" s="2" t="s">
        <v>11</v>
      </c>
      <c r="J4" s="2" t="s">
        <v>12</v>
      </c>
      <c r="K4" s="1"/>
      <c r="L4" s="2" t="s">
        <v>13</v>
      </c>
      <c r="M4" s="2" t="s">
        <v>14</v>
      </c>
    </row>
    <row r="5">
      <c r="A5" s="1"/>
      <c r="B5" s="2" t="s">
        <v>15</v>
      </c>
      <c r="C5" s="1"/>
      <c r="D5" s="2">
        <v>0.167</v>
      </c>
      <c r="E5" s="2">
        <v>0.177</v>
      </c>
      <c r="F5" s="2" t="s">
        <v>16</v>
      </c>
      <c r="G5" s="1"/>
      <c r="H5" s="2">
        <v>0.167</v>
      </c>
      <c r="I5" s="4">
        <v>0.18</v>
      </c>
      <c r="J5" s="2" t="s">
        <v>17</v>
      </c>
      <c r="K5" s="1"/>
      <c r="L5" s="2">
        <v>0.175</v>
      </c>
      <c r="M5" s="2">
        <v>0.186</v>
      </c>
    </row>
    <row r="6">
      <c r="A6" s="1"/>
      <c r="B6" s="1"/>
      <c r="C6" s="1"/>
      <c r="D6" s="2">
        <v>0.172</v>
      </c>
      <c r="E6" s="2">
        <v>0.178</v>
      </c>
      <c r="F6" s="1"/>
      <c r="G6" s="1"/>
      <c r="H6" s="2">
        <v>0.173</v>
      </c>
      <c r="I6" s="2">
        <v>0.183</v>
      </c>
      <c r="J6" s="1"/>
      <c r="K6" s="1"/>
      <c r="L6" s="2">
        <v>0.17</v>
      </c>
      <c r="M6" s="2">
        <v>0.182</v>
      </c>
    </row>
    <row r="7">
      <c r="A7" s="1"/>
      <c r="B7" s="2" t="s">
        <v>18</v>
      </c>
      <c r="C7" s="1"/>
      <c r="D7" s="2">
        <v>0.175</v>
      </c>
      <c r="E7" s="2">
        <v>0.182</v>
      </c>
      <c r="F7" s="2" t="s">
        <v>18</v>
      </c>
      <c r="G7" s="1"/>
      <c r="H7" s="2">
        <v>0.177</v>
      </c>
      <c r="I7" s="2">
        <v>0.187</v>
      </c>
      <c r="J7" s="2" t="s">
        <v>18</v>
      </c>
      <c r="K7" s="1"/>
      <c r="L7" s="2">
        <v>0.169</v>
      </c>
      <c r="M7" s="2">
        <v>0.184</v>
      </c>
    </row>
    <row r="8">
      <c r="A8" s="1"/>
      <c r="B8" s="1">
        <f>E20-D20</f>
        <v>-0.00607855843</v>
      </c>
      <c r="C8" s="1"/>
      <c r="D8" s="2">
        <v>0.173</v>
      </c>
      <c r="E8" s="2">
        <v>0.18</v>
      </c>
      <c r="F8" s="1">
        <f>I20-H20</f>
        <v>-0.008060541811</v>
      </c>
      <c r="G8" s="1"/>
      <c r="H8" s="1"/>
      <c r="I8" s="1"/>
      <c r="J8" s="1">
        <f>M20-L20</f>
        <v>-0.00931383948</v>
      </c>
      <c r="K8" s="1"/>
      <c r="L8" s="1"/>
      <c r="M8" s="1"/>
    </row>
    <row r="9">
      <c r="A9" s="1"/>
      <c r="B9" s="1"/>
      <c r="C9" s="1"/>
      <c r="D9" s="2">
        <v>0.168</v>
      </c>
      <c r="E9" s="2">
        <v>0.177</v>
      </c>
      <c r="F9" s="1"/>
      <c r="G9" s="1"/>
      <c r="H9" s="1"/>
      <c r="I9" s="1"/>
      <c r="J9" s="1"/>
      <c r="K9" s="1"/>
      <c r="L9" s="1"/>
      <c r="M9" s="1"/>
    </row>
    <row r="10">
      <c r="A10" s="1"/>
      <c r="B10" s="1"/>
      <c r="C10" s="1"/>
      <c r="D10" s="2">
        <v>0.168</v>
      </c>
      <c r="E10" s="2">
        <v>0.176</v>
      </c>
      <c r="F10" s="1"/>
      <c r="G10" s="1"/>
      <c r="H10" s="1"/>
      <c r="I10" s="1"/>
      <c r="J10" s="1"/>
      <c r="K10" s="1"/>
      <c r="L10" s="1"/>
      <c r="M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/>
      <c r="B12" s="2" t="s">
        <v>19</v>
      </c>
      <c r="C12" s="1"/>
      <c r="D12" s="1">
        <f t="shared" ref="D12:E12" si="1">AVERAGE(D4:D10)</f>
        <v>0.1705</v>
      </c>
      <c r="E12" s="1">
        <f t="shared" si="1"/>
        <v>0.1783333333</v>
      </c>
      <c r="F12" s="1"/>
      <c r="G12" s="1"/>
      <c r="H12" s="1">
        <f t="shared" ref="H12:I12" si="2">AVERAGE(H4:H10)</f>
        <v>0.1723333333</v>
      </c>
      <c r="I12" s="1">
        <f t="shared" si="2"/>
        <v>0.1833333333</v>
      </c>
      <c r="J12" s="1"/>
      <c r="K12" s="1"/>
      <c r="L12" s="1">
        <f t="shared" ref="L12:M12" si="3">AVERAGE(L4:L10)</f>
        <v>0.1713333333</v>
      </c>
      <c r="M12" s="1">
        <f t="shared" si="3"/>
        <v>0.184</v>
      </c>
    </row>
    <row r="13">
      <c r="A13" s="1"/>
      <c r="B13" s="2" t="s">
        <v>20</v>
      </c>
      <c r="C13" s="1"/>
      <c r="D13" s="1">
        <f t="shared" ref="D13:E13" si="4">STDEV(D4:D10)</f>
        <v>0.003271085447</v>
      </c>
      <c r="E13" s="1">
        <f t="shared" si="4"/>
        <v>0.002250925735</v>
      </c>
      <c r="F13" s="1"/>
      <c r="G13" s="1"/>
      <c r="H13" s="1">
        <f t="shared" ref="H13:I13" si="5">STDEV(H4:H7)</f>
        <v>0.005033222957</v>
      </c>
      <c r="I13" s="1">
        <f t="shared" si="5"/>
        <v>0.003511884584</v>
      </c>
      <c r="J13" s="1"/>
      <c r="K13" s="1"/>
      <c r="L13" s="1">
        <f t="shared" ref="L13:M13" si="6">STDEV(L4:L7)</f>
        <v>0.003214550254</v>
      </c>
      <c r="M13" s="1">
        <f t="shared" si="6"/>
        <v>0.002</v>
      </c>
    </row>
    <row r="14">
      <c r="A14" s="1"/>
      <c r="B14" s="2" t="s">
        <v>21</v>
      </c>
      <c r="C14" s="1"/>
      <c r="D14" s="1">
        <f t="shared" ref="D14:E14" si="7">D13/SQRT(6)</f>
        <v>0.001335415042</v>
      </c>
      <c r="E14" s="1">
        <f t="shared" si="7"/>
        <v>0.0009189365835</v>
      </c>
      <c r="F14" s="1"/>
      <c r="G14" s="1"/>
      <c r="H14" s="1">
        <f t="shared" ref="H14:I14" si="8">H13/SQRT(3)</f>
        <v>0.002905932629</v>
      </c>
      <c r="I14" s="1">
        <f t="shared" si="8"/>
        <v>0.00202758751</v>
      </c>
      <c r="J14" s="1"/>
      <c r="K14" s="1"/>
      <c r="L14" s="1">
        <f t="shared" ref="L14:M14" si="9">L13/SQRT(3)</f>
        <v>0.001855921454</v>
      </c>
      <c r="M14" s="1">
        <f t="shared" si="9"/>
        <v>0.001154700538</v>
      </c>
    </row>
    <row r="15">
      <c r="A15" s="1"/>
      <c r="B15" s="2" t="s">
        <v>22</v>
      </c>
      <c r="C15" s="1"/>
      <c r="D15" s="1">
        <f>SQRT(D14^2+I2^2)</f>
        <v>0.001668332501</v>
      </c>
      <c r="E15" s="1">
        <f>SQRT(E14^2+I2^2)</f>
        <v>0.001358103252</v>
      </c>
      <c r="F15" s="1"/>
      <c r="G15" s="1"/>
      <c r="H15" s="1">
        <f>SQRT(H14^2+I2^2)</f>
        <v>0.003073181486</v>
      </c>
      <c r="I15" s="1">
        <f>SQRT(I14^2+I2^2)</f>
        <v>0.002260776661</v>
      </c>
      <c r="J15" s="1"/>
      <c r="K15" s="1"/>
      <c r="L15" s="1">
        <f>SQRT(L14^2+I2^2)</f>
        <v>0.002108185107</v>
      </c>
      <c r="M15" s="1">
        <f>SQRT(M14^2+I2^2)</f>
        <v>0.001527525232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2" t="s">
        <v>23</v>
      </c>
      <c r="C17" s="1"/>
      <c r="D17" s="1">
        <f t="shared" ref="D17:E17" si="10">$F$1/D12</f>
        <v>0.5865102639</v>
      </c>
      <c r="E17" s="1">
        <f t="shared" si="10"/>
        <v>0.5607476636</v>
      </c>
      <c r="F17" s="1"/>
      <c r="G17" s="1"/>
      <c r="H17" s="1">
        <f t="shared" ref="H17:I17" si="11">$F$1/H12</f>
        <v>0.580270793</v>
      </c>
      <c r="I17" s="1">
        <f t="shared" si="11"/>
        <v>0.5454545455</v>
      </c>
      <c r="J17" s="1"/>
      <c r="K17" s="1"/>
      <c r="L17" s="1">
        <f t="shared" ref="L17:M17" si="12">$F$1/L12</f>
        <v>0.5836575875</v>
      </c>
      <c r="M17" s="1">
        <f t="shared" si="12"/>
        <v>0.5434782609</v>
      </c>
    </row>
    <row r="18">
      <c r="A18" s="1"/>
      <c r="B18" s="2" t="s">
        <v>22</v>
      </c>
      <c r="C18" s="1"/>
      <c r="D18" s="1">
        <f t="shared" ref="D18:E18" si="13">D17*SQRT(($F$2/$F$1)^2+(D15/D12)^2)</f>
        <v>0.005746456163</v>
      </c>
      <c r="E18" s="1">
        <f t="shared" si="13"/>
        <v>0.004279586035</v>
      </c>
      <c r="F18" s="1"/>
      <c r="G18" s="1"/>
      <c r="H18" s="1">
        <f t="shared" ref="H18:I18" si="14">H17*SQRT(($F$2/$F$1)^2+(H15/H12)^2)</f>
        <v>0.01035190489</v>
      </c>
      <c r="I18" s="1">
        <f t="shared" si="14"/>
        <v>0.006731804472</v>
      </c>
      <c r="J18" s="1"/>
      <c r="K18" s="1"/>
      <c r="L18" s="1">
        <f t="shared" ref="L18:M18" si="15">L17*SQRT(($F$2/$F$1)^2+(L15/L12)^2)</f>
        <v>0.007187589667</v>
      </c>
      <c r="M18" s="1">
        <f t="shared" si="15"/>
        <v>0.004520005961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2" t="s">
        <v>24</v>
      </c>
      <c r="C20" s="1"/>
      <c r="D20" s="1">
        <f t="shared" ref="D20:E20" si="16">$D$1*D17^2/2</f>
        <v>0.07074586562</v>
      </c>
      <c r="E20" s="1">
        <f t="shared" si="16"/>
        <v>0.06466730719</v>
      </c>
      <c r="F20" s="1"/>
      <c r="G20" s="1"/>
      <c r="H20" s="1">
        <f t="shared" ref="H20:I20" si="17">$D$1*H17^2/2</f>
        <v>0.06924864098</v>
      </c>
      <c r="I20" s="1">
        <f t="shared" si="17"/>
        <v>0.06118809917</v>
      </c>
      <c r="J20" s="1"/>
      <c r="K20" s="1"/>
      <c r="L20" s="1">
        <f t="shared" ref="L20:M20" si="18">$D$1*L17^2/2</f>
        <v>0.07005934988</v>
      </c>
      <c r="M20" s="1">
        <f t="shared" si="18"/>
        <v>0.0607455104</v>
      </c>
    </row>
    <row r="21">
      <c r="A21" s="1"/>
      <c r="B21" s="2" t="s">
        <v>22</v>
      </c>
      <c r="C21" s="1"/>
      <c r="D21" s="1">
        <f t="shared" ref="D21:E21" si="19">D20*SQRT(($D$2/$D$1)^2+(2*D18/D17)^2)</f>
        <v>0.0013862957</v>
      </c>
      <c r="E21" s="1">
        <f t="shared" si="19"/>
        <v>0.0009870737725</v>
      </c>
      <c r="F21" s="1"/>
      <c r="G21" s="1"/>
      <c r="H21" s="1">
        <f t="shared" ref="H21:I21" si="20">H20*SQRT(($D$2/$D$1)^2+(2*H18/H17)^2)</f>
        <v>0.002470761998</v>
      </c>
      <c r="I21" s="1">
        <f t="shared" si="20"/>
        <v>0.001510323905</v>
      </c>
      <c r="J21" s="1"/>
      <c r="K21" s="1"/>
      <c r="L21" s="1">
        <f t="shared" ref="L21:M21" si="21">L20*SQRT(($D$2/$D$1)^2+(2*L18/L17)^2)</f>
        <v>0.001725525772</v>
      </c>
      <c r="M21" s="1">
        <f t="shared" si="21"/>
        <v>0.001010418934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A24" s="2" t="s">
        <v>25</v>
      </c>
      <c r="B24" s="2" t="s">
        <v>6</v>
      </c>
      <c r="C24" s="1"/>
      <c r="D24" s="2" t="s">
        <v>7</v>
      </c>
      <c r="E24" s="2" t="s">
        <v>8</v>
      </c>
      <c r="F24" s="2" t="s">
        <v>9</v>
      </c>
      <c r="G24" s="1"/>
      <c r="H24" s="2" t="s">
        <v>10</v>
      </c>
      <c r="I24" s="2" t="s">
        <v>11</v>
      </c>
      <c r="J24" s="2" t="s">
        <v>12</v>
      </c>
      <c r="K24" s="1"/>
      <c r="L24" s="2" t="s">
        <v>13</v>
      </c>
      <c r="M24" s="2" t="s">
        <v>14</v>
      </c>
    </row>
    <row r="25">
      <c r="A25" s="1"/>
      <c r="B25" s="2" t="s">
        <v>15</v>
      </c>
      <c r="C25" s="1"/>
      <c r="D25" s="2">
        <v>0.174</v>
      </c>
      <c r="E25" s="2">
        <v>0.196</v>
      </c>
      <c r="F25" s="2" t="s">
        <v>16</v>
      </c>
      <c r="G25" s="1"/>
      <c r="H25" s="2">
        <v>0.181</v>
      </c>
      <c r="I25" s="4">
        <v>0.207</v>
      </c>
      <c r="J25" s="2" t="s">
        <v>17</v>
      </c>
      <c r="K25" s="1"/>
      <c r="L25" s="2">
        <v>0.176</v>
      </c>
      <c r="M25" s="2">
        <v>0.206</v>
      </c>
    </row>
    <row r="26">
      <c r="A26" s="1"/>
      <c r="B26" s="1"/>
      <c r="C26" s="1"/>
      <c r="D26" s="2">
        <v>0.168</v>
      </c>
      <c r="E26" s="2">
        <v>0.19</v>
      </c>
      <c r="F26" s="1"/>
      <c r="G26" s="1"/>
      <c r="H26" s="2">
        <v>0.17</v>
      </c>
      <c r="I26" s="2">
        <v>0.197</v>
      </c>
      <c r="J26" s="1"/>
      <c r="K26" s="1"/>
      <c r="L26" s="2">
        <v>0.17</v>
      </c>
      <c r="M26" s="2">
        <v>0.199</v>
      </c>
    </row>
    <row r="27">
      <c r="A27" s="1"/>
      <c r="B27" s="2" t="s">
        <v>18</v>
      </c>
      <c r="C27" s="1"/>
      <c r="D27" s="2">
        <v>0.169</v>
      </c>
      <c r="E27" s="2">
        <v>0.191</v>
      </c>
      <c r="F27" s="2" t="s">
        <v>18</v>
      </c>
      <c r="G27" s="1"/>
      <c r="H27" s="2">
        <v>0.175</v>
      </c>
      <c r="I27" s="2">
        <v>0.201</v>
      </c>
      <c r="J27" s="2" t="s">
        <v>18</v>
      </c>
      <c r="K27" s="1"/>
      <c r="L27" s="2">
        <v>0.168</v>
      </c>
      <c r="M27" s="2">
        <v>0.196</v>
      </c>
    </row>
    <row r="28">
      <c r="A28" s="1"/>
      <c r="B28" s="1">
        <f>E40-D40</f>
        <v>-0.01485541869</v>
      </c>
      <c r="C28" s="1"/>
      <c r="D28" s="2">
        <v>0.181</v>
      </c>
      <c r="E28" s="2">
        <v>0.204</v>
      </c>
      <c r="F28" s="1">
        <f>I40-H40</f>
        <v>-0.01633051194</v>
      </c>
      <c r="G28" s="1"/>
      <c r="H28" s="1"/>
      <c r="I28" s="1"/>
      <c r="J28" s="1">
        <f>M40-L40</f>
        <v>-0.0188153057</v>
      </c>
      <c r="K28" s="1"/>
      <c r="L28" s="1"/>
      <c r="M28" s="1"/>
    </row>
    <row r="29">
      <c r="A29" s="1"/>
      <c r="B29" s="1"/>
      <c r="C29" s="1"/>
      <c r="D29" s="2">
        <v>0.17</v>
      </c>
      <c r="E29" s="2">
        <v>0.193</v>
      </c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2">
        <v>0.175</v>
      </c>
      <c r="E30" s="2">
        <v>0.197</v>
      </c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2" t="s">
        <v>19</v>
      </c>
      <c r="C32" s="1"/>
      <c r="D32" s="1">
        <f t="shared" ref="D32:E32" si="22">AVERAGE(D24:D30)</f>
        <v>0.1728333333</v>
      </c>
      <c r="E32" s="1">
        <f t="shared" si="22"/>
        <v>0.1951666667</v>
      </c>
      <c r="F32" s="1"/>
      <c r="G32" s="1"/>
      <c r="H32" s="1">
        <f t="shared" ref="H32:I32" si="23">AVERAGE(H24:H30)</f>
        <v>0.1753333333</v>
      </c>
      <c r="I32" s="1">
        <f t="shared" si="23"/>
        <v>0.2016666667</v>
      </c>
      <c r="J32" s="1"/>
      <c r="K32" s="1"/>
      <c r="L32" s="1">
        <f t="shared" ref="L32:M32" si="24">AVERAGE(L24:L30)</f>
        <v>0.1713333333</v>
      </c>
      <c r="M32" s="1">
        <f t="shared" si="24"/>
        <v>0.2003333333</v>
      </c>
    </row>
    <row r="33">
      <c r="A33" s="1"/>
      <c r="B33" s="2" t="s">
        <v>20</v>
      </c>
      <c r="C33" s="1"/>
      <c r="D33" s="1">
        <f t="shared" ref="D33:E33" si="25">STDEV(D24:D30)</f>
        <v>0.004875106836</v>
      </c>
      <c r="E33" s="1">
        <f t="shared" si="25"/>
        <v>0.005115336418</v>
      </c>
      <c r="F33" s="1"/>
      <c r="G33" s="1"/>
      <c r="H33" s="1">
        <f t="shared" ref="H33:I33" si="26">STDEV(H24:H30)</f>
        <v>0.005507570547</v>
      </c>
      <c r="I33" s="1">
        <f t="shared" si="26"/>
        <v>0.005033222957</v>
      </c>
      <c r="J33" s="1"/>
      <c r="K33" s="1"/>
      <c r="L33" s="1">
        <f t="shared" ref="L33:M33" si="27">STDEV(L24:L30)</f>
        <v>0.004163331999</v>
      </c>
      <c r="M33" s="1">
        <f t="shared" si="27"/>
        <v>0.005131601439</v>
      </c>
    </row>
    <row r="34">
      <c r="A34" s="1"/>
      <c r="B34" s="2" t="s">
        <v>21</v>
      </c>
      <c r="C34" s="1"/>
      <c r="D34" s="1">
        <f t="shared" ref="D34:E34" si="28">D33/SQRT(6)</f>
        <v>0.001990254032</v>
      </c>
      <c r="E34" s="1">
        <f t="shared" si="28"/>
        <v>0.002088327348</v>
      </c>
      <c r="F34" s="1"/>
      <c r="G34" s="1"/>
      <c r="H34" s="1">
        <f t="shared" ref="H34:I34" si="29">H33/SQRT(3)</f>
        <v>0.003179797338</v>
      </c>
      <c r="I34" s="1">
        <f t="shared" si="29"/>
        <v>0.002905932629</v>
      </c>
      <c r="J34" s="1"/>
      <c r="K34" s="1"/>
      <c r="L34" s="1">
        <f t="shared" ref="L34:M34" si="30">L33/SQRT(3)</f>
        <v>0.00240370085</v>
      </c>
      <c r="M34" s="1">
        <f t="shared" si="30"/>
        <v>0.002962731472</v>
      </c>
    </row>
    <row r="35">
      <c r="A35" s="1"/>
      <c r="B35" s="2" t="s">
        <v>22</v>
      </c>
      <c r="C35" s="1"/>
      <c r="D35" s="1">
        <f>SQRT(D34^2+I22^2)</f>
        <v>0.001990254032</v>
      </c>
      <c r="E35" s="1">
        <f>SQRT(E34^2+I22^2)</f>
        <v>0.002088327348</v>
      </c>
      <c r="F35" s="1"/>
      <c r="G35" s="1"/>
      <c r="H35" s="1">
        <f>SQRT(H34^2+I22^2)</f>
        <v>0.003179797338</v>
      </c>
      <c r="I35" s="1">
        <f>SQRT(I34^2+I22^2)</f>
        <v>0.002905932629</v>
      </c>
      <c r="J35" s="1"/>
      <c r="K35" s="1"/>
      <c r="L35" s="1">
        <f>SQRT(L34^2+I22^2)</f>
        <v>0.00240370085</v>
      </c>
      <c r="M35" s="1">
        <f>SQRT(M34^2+I22^2)</f>
        <v>0.002962731472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2" t="s">
        <v>23</v>
      </c>
      <c r="C37" s="1"/>
      <c r="D37" s="1">
        <f t="shared" ref="D37:E37" si="31">$F$1/D32</f>
        <v>0.5785920926</v>
      </c>
      <c r="E37" s="1">
        <f t="shared" si="31"/>
        <v>0.512382579</v>
      </c>
      <c r="F37" s="1"/>
      <c r="G37" s="1"/>
      <c r="H37" s="1">
        <f t="shared" ref="H37:I37" si="32">$F$1/H32</f>
        <v>0.5703422053</v>
      </c>
      <c r="I37" s="1">
        <f t="shared" si="32"/>
        <v>0.4958677686</v>
      </c>
      <c r="J37" s="1"/>
      <c r="K37" s="1"/>
      <c r="L37" s="1">
        <f t="shared" ref="L37:M37" si="33">$F$1/L32</f>
        <v>0.5836575875</v>
      </c>
      <c r="M37" s="1">
        <f t="shared" si="33"/>
        <v>0.4991680532</v>
      </c>
    </row>
    <row r="38">
      <c r="A38" s="1"/>
      <c r="B38" s="2" t="s">
        <v>22</v>
      </c>
      <c r="C38" s="1"/>
      <c r="D38" s="1">
        <f t="shared" ref="D38:E38" si="34">D37*SQRT(($F$2/$F$1)^2+(D35/D32)^2)</f>
        <v>0.006669027378</v>
      </c>
      <c r="E38" s="1">
        <f t="shared" si="34"/>
        <v>0.005488591536</v>
      </c>
      <c r="F38" s="1"/>
      <c r="G38" s="1"/>
      <c r="H38" s="1">
        <f t="shared" ref="H38:I38" si="35">H37*SQRT(($F$2/$F$1)^2+(H35/H32)^2)</f>
        <v>0.01034750043</v>
      </c>
      <c r="I38" s="1">
        <f t="shared" si="35"/>
        <v>0.007149548161</v>
      </c>
      <c r="J38" s="1"/>
      <c r="K38" s="1"/>
      <c r="L38" s="1">
        <f t="shared" ref="L38:M38" si="36">L37*SQRT(($F$2/$F$1)^2+(L35/L32)^2)</f>
        <v>0.008193554147</v>
      </c>
      <c r="M38" s="1">
        <f t="shared" si="36"/>
        <v>0.007386418714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2" t="s">
        <v>24</v>
      </c>
      <c r="C40" s="1"/>
      <c r="D40" s="1">
        <f t="shared" ref="D40:E40" si="37">$D$1*D37^2/2</f>
        <v>0.06884855338</v>
      </c>
      <c r="E40" s="1">
        <f t="shared" si="37"/>
        <v>0.05399313469</v>
      </c>
      <c r="F40" s="1"/>
      <c r="G40" s="1"/>
      <c r="H40" s="1">
        <f t="shared" ref="H40:I40" si="38">$D$1*H37^2/2</f>
        <v>0.06689918894</v>
      </c>
      <c r="I40" s="1">
        <f t="shared" si="38"/>
        <v>0.050568677</v>
      </c>
      <c r="J40" s="1"/>
      <c r="K40" s="1"/>
      <c r="L40" s="1">
        <f t="shared" ref="L40:M40" si="39">$D$1*L37^2/2</f>
        <v>0.07005934988</v>
      </c>
      <c r="M40" s="1">
        <f t="shared" si="39"/>
        <v>0.05124404417</v>
      </c>
    </row>
    <row r="41">
      <c r="A41" s="1"/>
      <c r="B41" s="2" t="s">
        <v>22</v>
      </c>
      <c r="C41" s="1"/>
      <c r="D41" s="1">
        <f t="shared" ref="D41:E41" si="40">D40*SQRT(($D$2/$D$1)^2+(2*D38/D37)^2)</f>
        <v>0.001587139364</v>
      </c>
      <c r="E41" s="1">
        <f t="shared" si="40"/>
        <v>0.001156738988</v>
      </c>
      <c r="F41" s="1"/>
      <c r="G41" s="1"/>
      <c r="H41" s="1">
        <f t="shared" ref="H41:I41" si="41">H40*SQRT(($D$2/$D$1)^2+(2*H38/H37)^2)</f>
        <v>0.002427453327</v>
      </c>
      <c r="I41" s="1">
        <f t="shared" si="41"/>
        <v>0.001458224725</v>
      </c>
      <c r="J41" s="1"/>
      <c r="K41" s="1"/>
      <c r="L41" s="1">
        <f t="shared" ref="L41:M41" si="42">L40*SQRT(($D$2/$D$1)^2+(2*L38/L37)^2)</f>
        <v>0.0019670276</v>
      </c>
      <c r="M41" s="1">
        <f t="shared" si="42"/>
        <v>0.001516563779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2" t="s">
        <v>26</v>
      </c>
      <c r="B44" s="2" t="s">
        <v>6</v>
      </c>
      <c r="C44" s="1"/>
      <c r="D44" s="2" t="s">
        <v>7</v>
      </c>
      <c r="E44" s="2" t="s">
        <v>8</v>
      </c>
      <c r="F44" s="2" t="s">
        <v>9</v>
      </c>
      <c r="G44" s="1"/>
      <c r="H44" s="2" t="s">
        <v>10</v>
      </c>
      <c r="I44" s="2" t="s">
        <v>11</v>
      </c>
      <c r="J44" s="2" t="s">
        <v>12</v>
      </c>
      <c r="K44" s="1"/>
      <c r="L44" s="2" t="s">
        <v>13</v>
      </c>
      <c r="M44" s="2" t="s">
        <v>14</v>
      </c>
    </row>
    <row r="45">
      <c r="A45" s="1"/>
      <c r="B45" s="2" t="s">
        <v>15</v>
      </c>
      <c r="C45" s="1"/>
      <c r="D45" s="2">
        <v>0.166</v>
      </c>
      <c r="E45" s="2">
        <v>0.182</v>
      </c>
      <c r="F45" s="2" t="s">
        <v>16</v>
      </c>
      <c r="G45" s="1"/>
      <c r="H45" s="2">
        <v>0.165</v>
      </c>
      <c r="I45" s="4">
        <v>0.185</v>
      </c>
      <c r="J45" s="2" t="s">
        <v>17</v>
      </c>
      <c r="K45" s="1"/>
      <c r="L45" s="2">
        <v>0.173</v>
      </c>
      <c r="M45" s="2">
        <v>0.195</v>
      </c>
    </row>
    <row r="46">
      <c r="A46" s="1"/>
      <c r="B46" s="1"/>
      <c r="C46" s="1"/>
      <c r="D46" s="2">
        <v>0.173</v>
      </c>
      <c r="E46" s="2">
        <v>0.189</v>
      </c>
      <c r="F46" s="1"/>
      <c r="G46" s="1"/>
      <c r="H46" s="2">
        <v>0.173</v>
      </c>
      <c r="I46" s="2">
        <v>0.191</v>
      </c>
      <c r="J46" s="1"/>
      <c r="K46" s="1"/>
      <c r="L46" s="2">
        <v>0.176</v>
      </c>
      <c r="M46" s="2">
        <v>0.198</v>
      </c>
    </row>
    <row r="47">
      <c r="A47" s="1"/>
      <c r="B47" s="2" t="s">
        <v>18</v>
      </c>
      <c r="C47" s="1"/>
      <c r="D47" s="2">
        <v>0.169</v>
      </c>
      <c r="E47" s="2">
        <v>0.183</v>
      </c>
      <c r="F47" s="2" t="s">
        <v>18</v>
      </c>
      <c r="G47" s="1"/>
      <c r="H47" s="2">
        <v>0.169</v>
      </c>
      <c r="I47" s="2">
        <v>0.186</v>
      </c>
      <c r="J47" s="2" t="s">
        <v>18</v>
      </c>
      <c r="K47" s="1"/>
      <c r="L47" s="2">
        <v>0.235</v>
      </c>
      <c r="M47" s="2">
        <v>0.262</v>
      </c>
    </row>
    <row r="48">
      <c r="A48" s="1"/>
      <c r="B48" s="1">
        <f>E60-D60</f>
        <v>-0.009143315133</v>
      </c>
      <c r="C48" s="1"/>
      <c r="D48" s="2">
        <v>0.174</v>
      </c>
      <c r="E48" s="2">
        <v>0.188</v>
      </c>
      <c r="F48" s="1">
        <f>I60-H60</f>
        <v>-0.01340430144</v>
      </c>
      <c r="G48" s="1"/>
      <c r="H48" s="1"/>
      <c r="I48" s="1"/>
      <c r="J48" s="1">
        <f>M60-L60</f>
        <v>-0.01112791249</v>
      </c>
      <c r="K48" s="1"/>
      <c r="L48" s="1"/>
      <c r="M48" s="1"/>
    </row>
    <row r="49">
      <c r="A49" s="1"/>
      <c r="B49" s="1"/>
      <c r="C49" s="1"/>
      <c r="D49" s="2">
        <v>0.177</v>
      </c>
      <c r="E49" s="2">
        <v>0.191</v>
      </c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2">
        <v>0.231</v>
      </c>
      <c r="E50" s="2">
        <v>0.247</v>
      </c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2" t="s">
        <v>19</v>
      </c>
      <c r="C52" s="1"/>
      <c r="D52" s="1">
        <f t="shared" ref="D52:E52" si="43">AVERAGE(D44:D50)</f>
        <v>0.1816666667</v>
      </c>
      <c r="E52" s="1">
        <f t="shared" si="43"/>
        <v>0.1966666667</v>
      </c>
      <c r="F52" s="1"/>
      <c r="G52" s="1"/>
      <c r="H52" s="1">
        <f t="shared" ref="H52:I52" si="44">AVERAGE(H44:H50)</f>
        <v>0.169</v>
      </c>
      <c r="I52" s="1">
        <f t="shared" si="44"/>
        <v>0.1873333333</v>
      </c>
      <c r="J52" s="1"/>
      <c r="K52" s="1"/>
      <c r="L52" s="1">
        <f t="shared" ref="L52:M52" si="45">AVERAGE(L44:L50)</f>
        <v>0.1946666667</v>
      </c>
      <c r="M52" s="1">
        <f t="shared" si="45"/>
        <v>0.2183333333</v>
      </c>
    </row>
    <row r="53">
      <c r="A53" s="1"/>
      <c r="B53" s="2" t="s">
        <v>20</v>
      </c>
      <c r="C53" s="1"/>
      <c r="D53" s="1">
        <f t="shared" ref="D53:E53" si="46">STDEV(D44:D50)</f>
        <v>0.02447583843</v>
      </c>
      <c r="E53" s="1">
        <f t="shared" si="46"/>
        <v>0.02490515342</v>
      </c>
      <c r="F53" s="1"/>
      <c r="G53" s="1"/>
      <c r="H53" s="1">
        <f t="shared" ref="H53:I53" si="47">STDEV(H44:H50)</f>
        <v>0.004</v>
      </c>
      <c r="I53" s="1">
        <f t="shared" si="47"/>
        <v>0.003214550254</v>
      </c>
      <c r="J53" s="1"/>
      <c r="K53" s="1"/>
      <c r="L53" s="1">
        <f t="shared" ref="L53:M53" si="48">STDEV(L44:L50)</f>
        <v>0.03496188401</v>
      </c>
      <c r="M53" s="1">
        <f t="shared" si="48"/>
        <v>0.0378461799</v>
      </c>
    </row>
    <row r="54">
      <c r="A54" s="1"/>
      <c r="B54" s="2" t="s">
        <v>21</v>
      </c>
      <c r="C54" s="1"/>
      <c r="D54" s="1">
        <f t="shared" ref="D54:E54" si="49">D53/SQRT(6)</f>
        <v>0.009992219195</v>
      </c>
      <c r="E54" s="1">
        <f t="shared" si="49"/>
        <v>0.01016748631</v>
      </c>
      <c r="F54" s="1"/>
      <c r="G54" s="1"/>
      <c r="H54" s="1">
        <f t="shared" ref="H54:I54" si="50">H53/SQRT(3)</f>
        <v>0.002309401077</v>
      </c>
      <c r="I54" s="1">
        <f t="shared" si="50"/>
        <v>0.001855921454</v>
      </c>
      <c r="J54" s="1"/>
      <c r="K54" s="1"/>
      <c r="L54" s="1">
        <f t="shared" ref="L54:M54" si="51">L53/SQRT(3)</f>
        <v>0.02018525314</v>
      </c>
      <c r="M54" s="1">
        <f t="shared" si="51"/>
        <v>0.02185050216</v>
      </c>
    </row>
    <row r="55">
      <c r="A55" s="1"/>
      <c r="B55" s="2" t="s">
        <v>22</v>
      </c>
      <c r="C55" s="1"/>
      <c r="D55" s="1">
        <f>SQRT(D54^2+I42^2)</f>
        <v>0.009992219195</v>
      </c>
      <c r="E55" s="1">
        <f>SQRT(E54^2+I42^2)</f>
        <v>0.01016748631</v>
      </c>
      <c r="F55" s="1"/>
      <c r="G55" s="1"/>
      <c r="H55" s="1">
        <f>SQRT(H54^2+I42^2)</f>
        <v>0.002309401077</v>
      </c>
      <c r="I55" s="1">
        <f>SQRT(I54^2+I42^2)</f>
        <v>0.001855921454</v>
      </c>
      <c r="J55" s="1"/>
      <c r="K55" s="1"/>
      <c r="L55" s="1">
        <f>SQRT(L54^2+I42^2)</f>
        <v>0.02018525314</v>
      </c>
      <c r="M55" s="1">
        <f>SQRT(M54^2+I42^2)</f>
        <v>0.02185050216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2" t="s">
        <v>23</v>
      </c>
      <c r="C57" s="1"/>
      <c r="D57" s="1">
        <f t="shared" ref="D57:E57" si="52">$F$1/D52</f>
        <v>0.5504587156</v>
      </c>
      <c r="E57" s="1">
        <f t="shared" si="52"/>
        <v>0.5084745763</v>
      </c>
      <c r="F57" s="1"/>
      <c r="G57" s="1"/>
      <c r="H57" s="1">
        <f t="shared" ref="H57:I57" si="53">$F$1/H52</f>
        <v>0.5917159763</v>
      </c>
      <c r="I57" s="1">
        <f t="shared" si="53"/>
        <v>0.5338078292</v>
      </c>
      <c r="J57" s="1"/>
      <c r="K57" s="1"/>
      <c r="L57" s="1">
        <f t="shared" ref="L57:M57" si="54">$F$1/L52</f>
        <v>0.5136986301</v>
      </c>
      <c r="M57" s="1">
        <f t="shared" si="54"/>
        <v>0.4580152672</v>
      </c>
    </row>
    <row r="58">
      <c r="A58" s="1"/>
      <c r="B58" s="2" t="s">
        <v>22</v>
      </c>
      <c r="C58" s="1"/>
      <c r="D58" s="1">
        <f t="shared" ref="D58:E58" si="55">D57*SQRT(($F$2/$F$1)^2+(D55/D52)^2)</f>
        <v>0.03027815449</v>
      </c>
      <c r="E58" s="1">
        <f t="shared" si="55"/>
        <v>0.02628889866</v>
      </c>
      <c r="F58" s="1"/>
      <c r="G58" s="1"/>
      <c r="H58" s="1">
        <f t="shared" ref="H58:I58" si="56">H57*SQRT(($F$2/$F$1)^2+(H55/H52)^2)</f>
        <v>0.008091265954</v>
      </c>
      <c r="I58" s="1">
        <f t="shared" si="56"/>
        <v>0.005295193919</v>
      </c>
      <c r="J58" s="1"/>
      <c r="K58" s="1"/>
      <c r="L58" s="1">
        <f t="shared" ref="L58:M58" si="57">L57*SQRT(($F$2/$F$1)^2+(L55/L52)^2)</f>
        <v>0.05326673341</v>
      </c>
      <c r="M58" s="1">
        <f t="shared" si="57"/>
        <v>0.04583811519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2" t="s">
        <v>24</v>
      </c>
      <c r="C60" s="1"/>
      <c r="D60" s="1">
        <f t="shared" ref="D60:E60" si="58">$D$1*D57^2/2</f>
        <v>0.06231596667</v>
      </c>
      <c r="E60" s="1">
        <f t="shared" si="58"/>
        <v>0.05317265154</v>
      </c>
      <c r="F60" s="1"/>
      <c r="G60" s="1"/>
      <c r="H60" s="1">
        <f t="shared" ref="H60:I60" si="59">$D$1*H57^2/2</f>
        <v>0.07200728266</v>
      </c>
      <c r="I60" s="1">
        <f t="shared" si="59"/>
        <v>0.05860298122</v>
      </c>
      <c r="J60" s="1"/>
      <c r="K60" s="1"/>
      <c r="L60" s="1">
        <f t="shared" ref="L60:M60" si="60">$D$1*L57^2/2</f>
        <v>0.05427085288</v>
      </c>
      <c r="M60" s="1">
        <f t="shared" si="60"/>
        <v>0.04314294039</v>
      </c>
    </row>
    <row r="61">
      <c r="A61" s="1"/>
      <c r="B61" s="2" t="s">
        <v>22</v>
      </c>
      <c r="C61" s="1"/>
      <c r="D61" s="1">
        <f t="shared" ref="D61:E61" si="61">D60*SQRT(($D$2/$D$1)^2+(2*D58/D57)^2)</f>
        <v>0.006855418795</v>
      </c>
      <c r="E61" s="1">
        <f t="shared" si="61"/>
        <v>0.005498211912</v>
      </c>
      <c r="F61" s="1"/>
      <c r="G61" s="1"/>
      <c r="H61" s="1">
        <f t="shared" ref="H61:I61" si="62">H60*SQRT(($D$2/$D$1)^2+(2*H58/H57)^2)</f>
        <v>0.00196929043</v>
      </c>
      <c r="I61" s="1">
        <f t="shared" si="62"/>
        <v>0.001162644554</v>
      </c>
      <c r="J61" s="1"/>
      <c r="K61" s="1"/>
      <c r="L61" s="1">
        <f t="shared" ref="L61:M61" si="63">L60*SQRT(($D$2/$D$1)^2+(2*L58/L57)^2)</f>
        <v>0.01125496898</v>
      </c>
      <c r="M61" s="1">
        <f t="shared" si="63"/>
        <v>0.008635481075</v>
      </c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7.11"/>
    <col customWidth="1" min="5" max="5" width="11.56"/>
    <col customWidth="1" min="8" max="8" width="11.89"/>
  </cols>
  <sheetData>
    <row r="1">
      <c r="C1" s="5" t="s">
        <v>0</v>
      </c>
      <c r="D1" s="5" t="s">
        <v>27</v>
      </c>
      <c r="E1" s="5" t="s">
        <v>1</v>
      </c>
      <c r="F1" s="6" t="s">
        <v>27</v>
      </c>
    </row>
    <row r="2">
      <c r="C2" s="7" t="s">
        <v>2</v>
      </c>
      <c r="D2" s="5" t="s">
        <v>28</v>
      </c>
      <c r="E2" s="7" t="s">
        <v>3</v>
      </c>
      <c r="F2" s="5" t="s">
        <v>28</v>
      </c>
      <c r="H2" s="7" t="s">
        <v>4</v>
      </c>
      <c r="I2" s="5" t="s">
        <v>28</v>
      </c>
    </row>
    <row r="4">
      <c r="A4" s="5" t="s">
        <v>5</v>
      </c>
      <c r="B4" s="5" t="s">
        <v>6</v>
      </c>
      <c r="D4" s="5" t="s">
        <v>7</v>
      </c>
      <c r="E4" s="5" t="s">
        <v>8</v>
      </c>
      <c r="F4" s="5" t="s">
        <v>9</v>
      </c>
      <c r="H4" s="5" t="s">
        <v>10</v>
      </c>
      <c r="I4" s="5" t="s">
        <v>11</v>
      </c>
      <c r="J4" s="5" t="s">
        <v>12</v>
      </c>
      <c r="L4" s="5" t="s">
        <v>13</v>
      </c>
      <c r="M4" s="5" t="s">
        <v>14</v>
      </c>
    </row>
    <row r="5">
      <c r="B5" s="5" t="s">
        <v>15</v>
      </c>
      <c r="D5" s="5" t="s">
        <v>29</v>
      </c>
      <c r="E5" s="5" t="s">
        <v>30</v>
      </c>
      <c r="F5" s="5" t="s">
        <v>29</v>
      </c>
      <c r="H5" s="5" t="s">
        <v>29</v>
      </c>
      <c r="I5" s="8" t="s">
        <v>30</v>
      </c>
      <c r="J5" s="5" t="s">
        <v>29</v>
      </c>
      <c r="L5" s="5" t="s">
        <v>29</v>
      </c>
      <c r="M5" s="5" t="s">
        <v>30</v>
      </c>
    </row>
    <row r="6">
      <c r="D6" s="5" t="s">
        <v>29</v>
      </c>
      <c r="E6" s="5" t="s">
        <v>30</v>
      </c>
      <c r="H6" s="5" t="s">
        <v>29</v>
      </c>
      <c r="I6" s="5" t="s">
        <v>30</v>
      </c>
      <c r="L6" s="5" t="s">
        <v>29</v>
      </c>
      <c r="M6" s="5" t="s">
        <v>30</v>
      </c>
    </row>
    <row r="7">
      <c r="B7" s="5" t="s">
        <v>18</v>
      </c>
      <c r="D7" s="5" t="s">
        <v>29</v>
      </c>
      <c r="E7" s="5" t="s">
        <v>30</v>
      </c>
      <c r="F7" s="5" t="s">
        <v>18</v>
      </c>
      <c r="H7" s="5" t="s">
        <v>29</v>
      </c>
      <c r="I7" s="5" t="s">
        <v>30</v>
      </c>
      <c r="J7" s="5" t="s">
        <v>18</v>
      </c>
      <c r="L7" s="5" t="s">
        <v>29</v>
      </c>
      <c r="M7" s="5" t="s">
        <v>30</v>
      </c>
    </row>
    <row r="8">
      <c r="B8" s="9" t="str">
        <f>E20-D20</f>
        <v>#DIV/0!</v>
      </c>
      <c r="D8" s="5" t="s">
        <v>29</v>
      </c>
      <c r="E8" s="5" t="s">
        <v>30</v>
      </c>
      <c r="F8" s="9" t="str">
        <f>I20-H20</f>
        <v>#DIV/0!</v>
      </c>
      <c r="J8" s="9" t="str">
        <f>M20-L20</f>
        <v>#DIV/0!</v>
      </c>
    </row>
    <row r="9">
      <c r="D9" s="5" t="s">
        <v>29</v>
      </c>
      <c r="E9" s="5" t="s">
        <v>30</v>
      </c>
    </row>
    <row r="10">
      <c r="D10" s="5" t="s">
        <v>29</v>
      </c>
      <c r="E10" s="5" t="s">
        <v>30</v>
      </c>
    </row>
    <row r="12">
      <c r="B12" s="5" t="s">
        <v>19</v>
      </c>
      <c r="D12" s="9" t="str">
        <f t="shared" ref="D12:E12" si="1">AVERAGE(D4:D10)</f>
        <v>#DIV/0!</v>
      </c>
      <c r="E12" s="9" t="str">
        <f t="shared" si="1"/>
        <v>#DIV/0!</v>
      </c>
      <c r="H12" s="9" t="str">
        <f t="shared" ref="H12:I12" si="2">AVERAGE(H4:H10)</f>
        <v>#DIV/0!</v>
      </c>
      <c r="I12" s="9" t="str">
        <f t="shared" si="2"/>
        <v>#DIV/0!</v>
      </c>
      <c r="L12" s="9" t="str">
        <f t="shared" ref="L12:M12" si="3">AVERAGE(L4:L10)</f>
        <v>#DIV/0!</v>
      </c>
      <c r="M12" s="9" t="str">
        <f t="shared" si="3"/>
        <v>#DIV/0!</v>
      </c>
    </row>
    <row r="13">
      <c r="B13" s="5" t="s">
        <v>20</v>
      </c>
      <c r="D13" s="9" t="str">
        <f t="shared" ref="D13:E13" si="4">STDEV(D4:D10)</f>
        <v>#DIV/0!</v>
      </c>
      <c r="E13" s="9" t="str">
        <f t="shared" si="4"/>
        <v>#DIV/0!</v>
      </c>
      <c r="H13" s="9" t="str">
        <f t="shared" ref="H13:I13" si="5">STDEV(H4:H10)</f>
        <v>#DIV/0!</v>
      </c>
      <c r="I13" s="9" t="str">
        <f t="shared" si="5"/>
        <v>#DIV/0!</v>
      </c>
      <c r="L13" s="9" t="str">
        <f t="shared" ref="L13:M13" si="6">STDEV(L4:L10)</f>
        <v>#DIV/0!</v>
      </c>
      <c r="M13" s="9" t="str">
        <f t="shared" si="6"/>
        <v>#DIV/0!</v>
      </c>
    </row>
    <row r="14">
      <c r="B14" s="5" t="s">
        <v>21</v>
      </c>
      <c r="D14" s="9" t="str">
        <f t="shared" ref="D14:E14" si="7">D13/SQRT(6)</f>
        <v>#DIV/0!</v>
      </c>
      <c r="E14" s="9" t="str">
        <f t="shared" si="7"/>
        <v>#DIV/0!</v>
      </c>
      <c r="H14" s="9" t="str">
        <f t="shared" ref="H14:I14" si="8">H13/SQRT(3)</f>
        <v>#DIV/0!</v>
      </c>
      <c r="I14" s="9" t="str">
        <f t="shared" si="8"/>
        <v>#DIV/0!</v>
      </c>
      <c r="L14" s="9" t="str">
        <f t="shared" ref="L14:M14" si="9">L13/SQRT(3)</f>
        <v>#DIV/0!</v>
      </c>
      <c r="M14" s="9" t="str">
        <f t="shared" si="9"/>
        <v>#DIV/0!</v>
      </c>
    </row>
    <row r="15">
      <c r="B15" s="5" t="s">
        <v>22</v>
      </c>
      <c r="D15" s="9" t="str">
        <f>SQRT(D14^2+I2^2)</f>
        <v>#DIV/0!</v>
      </c>
      <c r="E15" s="9" t="str">
        <f>SQRT(E14^2+I2^2)</f>
        <v>#DIV/0!</v>
      </c>
      <c r="H15" s="9" t="str">
        <f>SQRT(H14^2+I2^2)</f>
        <v>#DIV/0!</v>
      </c>
      <c r="I15" s="9" t="str">
        <f>SQRT(I14^2+I2^2)</f>
        <v>#DIV/0!</v>
      </c>
      <c r="L15" s="9" t="str">
        <f>SQRT(L14^2+I2^2)</f>
        <v>#DIV/0!</v>
      </c>
      <c r="M15" s="9" t="str">
        <f>SQRT(M14^2+I2^2)</f>
        <v>#DIV/0!</v>
      </c>
    </row>
    <row r="17">
      <c r="B17" s="5" t="s">
        <v>23</v>
      </c>
      <c r="D17" s="9" t="str">
        <f t="shared" ref="D17:E17" si="10">$F$1/D12</f>
        <v>#DIV/0!</v>
      </c>
      <c r="E17" s="9" t="str">
        <f t="shared" si="10"/>
        <v>#DIV/0!</v>
      </c>
      <c r="H17" s="9" t="str">
        <f t="shared" ref="H17:I17" si="11">$F$1/H12</f>
        <v>#DIV/0!</v>
      </c>
      <c r="I17" s="9" t="str">
        <f t="shared" si="11"/>
        <v>#DIV/0!</v>
      </c>
      <c r="L17" s="9" t="str">
        <f t="shared" ref="L17:M17" si="12">$F$1/L12</f>
        <v>#DIV/0!</v>
      </c>
      <c r="M17" s="9" t="str">
        <f t="shared" si="12"/>
        <v>#DIV/0!</v>
      </c>
    </row>
    <row r="18">
      <c r="B18" s="5" t="s">
        <v>22</v>
      </c>
      <c r="D18" s="9" t="str">
        <f t="shared" ref="D18:E18" si="13">D17*SQRT(($F$2/$F$1)^2+(D15/D12)^2)</f>
        <v>#DIV/0!</v>
      </c>
      <c r="E18" s="9" t="str">
        <f t="shared" si="13"/>
        <v>#DIV/0!</v>
      </c>
      <c r="H18" s="9" t="str">
        <f t="shared" ref="H18:I18" si="14">H17*SQRT(($F$2/$F$1)^2+(H15/H12)^2)</f>
        <v>#DIV/0!</v>
      </c>
      <c r="I18" s="9" t="str">
        <f t="shared" si="14"/>
        <v>#DIV/0!</v>
      </c>
      <c r="L18" s="9" t="str">
        <f t="shared" ref="L18:M18" si="15">L17*SQRT(($F$2/$F$1)^2+(L15/L12)^2)</f>
        <v>#DIV/0!</v>
      </c>
      <c r="M18" s="9" t="str">
        <f t="shared" si="15"/>
        <v>#DIV/0!</v>
      </c>
    </row>
    <row r="20">
      <c r="B20" s="5" t="s">
        <v>24</v>
      </c>
      <c r="D20" s="9" t="str">
        <f t="shared" ref="D20:E20" si="16">$D$1*D17^2/2</f>
        <v>#DIV/0!</v>
      </c>
      <c r="E20" s="9" t="str">
        <f t="shared" si="16"/>
        <v>#DIV/0!</v>
      </c>
      <c r="H20" s="9" t="str">
        <f t="shared" ref="H20:I20" si="17">$D$1*H17^2/2</f>
        <v>#DIV/0!</v>
      </c>
      <c r="I20" s="9" t="str">
        <f t="shared" si="17"/>
        <v>#DIV/0!</v>
      </c>
      <c r="L20" s="9" t="str">
        <f t="shared" ref="L20:M20" si="18">$D$1*L17^2/2</f>
        <v>#DIV/0!</v>
      </c>
      <c r="M20" s="9" t="str">
        <f t="shared" si="18"/>
        <v>#DIV/0!</v>
      </c>
    </row>
    <row r="21">
      <c r="B21" s="5" t="s">
        <v>22</v>
      </c>
      <c r="D21" s="9" t="str">
        <f t="shared" ref="D21:E21" si="19">D20*SQRT(($D$2/$D$1)^2+(2*D18/D17)^2)</f>
        <v>#DIV/0!</v>
      </c>
      <c r="E21" s="9" t="str">
        <f t="shared" si="19"/>
        <v>#DIV/0!</v>
      </c>
      <c r="H21" s="9" t="str">
        <f t="shared" ref="H21:I21" si="20">H20*SQRT(($D$2/$D$1)^2+(2*H18/H17)^2)</f>
        <v>#DIV/0!</v>
      </c>
      <c r="I21" s="9" t="str">
        <f t="shared" si="20"/>
        <v>#DIV/0!</v>
      </c>
      <c r="L21" s="9" t="str">
        <f t="shared" ref="L21:M21" si="21">L20*SQRT(($D$2/$D$1)^2+(2*L18/L17)^2)</f>
        <v>#DIV/0!</v>
      </c>
      <c r="M21" s="9" t="str">
        <f t="shared" si="21"/>
        <v>#DIV/0!</v>
      </c>
    </row>
    <row r="24">
      <c r="A24" s="5" t="s">
        <v>25</v>
      </c>
      <c r="B24" s="5" t="s">
        <v>6</v>
      </c>
      <c r="D24" s="5" t="s">
        <v>7</v>
      </c>
      <c r="E24" s="5" t="s">
        <v>8</v>
      </c>
      <c r="F24" s="5" t="s">
        <v>9</v>
      </c>
      <c r="H24" s="5" t="s">
        <v>10</v>
      </c>
      <c r="I24" s="5" t="s">
        <v>11</v>
      </c>
      <c r="J24" s="5" t="s">
        <v>12</v>
      </c>
      <c r="L24" s="5" t="s">
        <v>13</v>
      </c>
      <c r="M24" s="5" t="s">
        <v>14</v>
      </c>
    </row>
    <row r="25">
      <c r="B25" s="5" t="s">
        <v>15</v>
      </c>
      <c r="D25" s="5" t="s">
        <v>29</v>
      </c>
      <c r="E25" s="5" t="s">
        <v>30</v>
      </c>
      <c r="F25" s="5" t="s">
        <v>29</v>
      </c>
      <c r="H25" s="5" t="s">
        <v>29</v>
      </c>
      <c r="I25" s="8" t="s">
        <v>30</v>
      </c>
      <c r="J25" s="5" t="s">
        <v>29</v>
      </c>
      <c r="L25" s="5" t="s">
        <v>29</v>
      </c>
      <c r="M25" s="5" t="s">
        <v>30</v>
      </c>
    </row>
    <row r="26">
      <c r="D26" s="5" t="s">
        <v>29</v>
      </c>
      <c r="E26" s="5" t="s">
        <v>30</v>
      </c>
      <c r="H26" s="5" t="s">
        <v>29</v>
      </c>
      <c r="I26" s="5" t="s">
        <v>30</v>
      </c>
      <c r="L26" s="5" t="s">
        <v>29</v>
      </c>
      <c r="M26" s="5" t="s">
        <v>30</v>
      </c>
    </row>
    <row r="27">
      <c r="B27" s="5" t="s">
        <v>18</v>
      </c>
      <c r="D27" s="5" t="s">
        <v>29</v>
      </c>
      <c r="E27" s="5" t="s">
        <v>30</v>
      </c>
      <c r="F27" s="5" t="s">
        <v>18</v>
      </c>
      <c r="H27" s="5" t="s">
        <v>29</v>
      </c>
      <c r="I27" s="5" t="s">
        <v>30</v>
      </c>
      <c r="J27" s="5" t="s">
        <v>18</v>
      </c>
      <c r="L27" s="5" t="s">
        <v>29</v>
      </c>
      <c r="M27" s="5" t="s">
        <v>30</v>
      </c>
    </row>
    <row r="28">
      <c r="B28" s="9" t="str">
        <f>E40-D40</f>
        <v>#DIV/0!</v>
      </c>
      <c r="D28" s="5" t="s">
        <v>29</v>
      </c>
      <c r="E28" s="5" t="s">
        <v>30</v>
      </c>
      <c r="F28" s="9" t="str">
        <f>I40-H40</f>
        <v>#DIV/0!</v>
      </c>
      <c r="J28" s="9" t="str">
        <f>M40-L40</f>
        <v>#DIV/0!</v>
      </c>
    </row>
    <row r="29">
      <c r="D29" s="5" t="s">
        <v>29</v>
      </c>
      <c r="E29" s="5" t="s">
        <v>30</v>
      </c>
    </row>
    <row r="30">
      <c r="D30" s="5" t="s">
        <v>29</v>
      </c>
      <c r="E30" s="5" t="s">
        <v>30</v>
      </c>
    </row>
    <row r="32">
      <c r="B32" s="5" t="s">
        <v>19</v>
      </c>
      <c r="D32" s="9" t="str">
        <f t="shared" ref="D32:E32" si="22">AVERAGE(D24:D30)</f>
        <v>#DIV/0!</v>
      </c>
      <c r="E32" s="9" t="str">
        <f t="shared" si="22"/>
        <v>#DIV/0!</v>
      </c>
      <c r="H32" s="9" t="str">
        <f t="shared" ref="H32:I32" si="23">AVERAGE(H24:H30)</f>
        <v>#DIV/0!</v>
      </c>
      <c r="I32" s="9" t="str">
        <f t="shared" si="23"/>
        <v>#DIV/0!</v>
      </c>
      <c r="L32" s="9" t="str">
        <f t="shared" ref="L32:M32" si="24">AVERAGE(L24:L30)</f>
        <v>#DIV/0!</v>
      </c>
      <c r="M32" s="9" t="str">
        <f t="shared" si="24"/>
        <v>#DIV/0!</v>
      </c>
    </row>
    <row r="33">
      <c r="B33" s="5" t="s">
        <v>20</v>
      </c>
      <c r="D33" s="9" t="str">
        <f t="shared" ref="D33:E33" si="25">STDEV(D24:D30)</f>
        <v>#DIV/0!</v>
      </c>
      <c r="E33" s="9" t="str">
        <f t="shared" si="25"/>
        <v>#DIV/0!</v>
      </c>
      <c r="H33" s="9" t="str">
        <f t="shared" ref="H33:I33" si="26">STDEV(H24:H30)</f>
        <v>#DIV/0!</v>
      </c>
      <c r="I33" s="9" t="str">
        <f t="shared" si="26"/>
        <v>#DIV/0!</v>
      </c>
      <c r="L33" s="9" t="str">
        <f t="shared" ref="L33:M33" si="27">STDEV(L24:L30)</f>
        <v>#DIV/0!</v>
      </c>
      <c r="M33" s="9" t="str">
        <f t="shared" si="27"/>
        <v>#DIV/0!</v>
      </c>
    </row>
    <row r="34">
      <c r="B34" s="5" t="s">
        <v>21</v>
      </c>
      <c r="D34" s="9" t="str">
        <f t="shared" ref="D34:E34" si="28">D33/SQRT(6)</f>
        <v>#DIV/0!</v>
      </c>
      <c r="E34" s="9" t="str">
        <f t="shared" si="28"/>
        <v>#DIV/0!</v>
      </c>
      <c r="H34" s="9" t="str">
        <f t="shared" ref="H34:I34" si="29">H33/SQRT(3)</f>
        <v>#DIV/0!</v>
      </c>
      <c r="I34" s="9" t="str">
        <f t="shared" si="29"/>
        <v>#DIV/0!</v>
      </c>
      <c r="L34" s="9" t="str">
        <f t="shared" ref="L34:M34" si="30">L33/SQRT(3)</f>
        <v>#DIV/0!</v>
      </c>
      <c r="M34" s="9" t="str">
        <f t="shared" si="30"/>
        <v>#DIV/0!</v>
      </c>
    </row>
    <row r="35">
      <c r="B35" s="5" t="s">
        <v>22</v>
      </c>
      <c r="D35" s="9" t="str">
        <f>SQRT(D34^2+I22^2)</f>
        <v>#DIV/0!</v>
      </c>
      <c r="E35" s="9" t="str">
        <f>SQRT(E34^2+I22^2)</f>
        <v>#DIV/0!</v>
      </c>
      <c r="H35" s="9" t="str">
        <f>SQRT(H34^2+I22^2)</f>
        <v>#DIV/0!</v>
      </c>
      <c r="I35" s="9" t="str">
        <f>SQRT(I34^2+I22^2)</f>
        <v>#DIV/0!</v>
      </c>
      <c r="L35" s="9" t="str">
        <f>SQRT(L34^2+I22^2)</f>
        <v>#DIV/0!</v>
      </c>
      <c r="M35" s="9" t="str">
        <f>SQRT(M34^2+I22^2)</f>
        <v>#DIV/0!</v>
      </c>
    </row>
    <row r="37">
      <c r="B37" s="5" t="s">
        <v>23</v>
      </c>
      <c r="D37" s="9" t="str">
        <f t="shared" ref="D37:E37" si="31">$F$1/D32</f>
        <v>#DIV/0!</v>
      </c>
      <c r="E37" s="9" t="str">
        <f t="shared" si="31"/>
        <v>#DIV/0!</v>
      </c>
      <c r="H37" s="9" t="str">
        <f t="shared" ref="H37:I37" si="32">$F$1/H32</f>
        <v>#DIV/0!</v>
      </c>
      <c r="I37" s="9" t="str">
        <f t="shared" si="32"/>
        <v>#DIV/0!</v>
      </c>
      <c r="L37" s="9" t="str">
        <f t="shared" ref="L37:M37" si="33">$F$1/L32</f>
        <v>#DIV/0!</v>
      </c>
      <c r="M37" s="9" t="str">
        <f t="shared" si="33"/>
        <v>#DIV/0!</v>
      </c>
    </row>
    <row r="38">
      <c r="B38" s="5" t="s">
        <v>22</v>
      </c>
      <c r="D38" s="9" t="str">
        <f t="shared" ref="D38:E38" si="34">D37*SQRT(($F$2/$F$1)^2+(D35/D32)^2)</f>
        <v>#DIV/0!</v>
      </c>
      <c r="E38" s="9" t="str">
        <f t="shared" si="34"/>
        <v>#DIV/0!</v>
      </c>
      <c r="H38" s="9" t="str">
        <f t="shared" ref="H38:I38" si="35">H37*SQRT(($F$2/$F$1)^2+(H35/H32)^2)</f>
        <v>#DIV/0!</v>
      </c>
      <c r="I38" s="9" t="str">
        <f t="shared" si="35"/>
        <v>#DIV/0!</v>
      </c>
      <c r="L38" s="9" t="str">
        <f t="shared" ref="L38:M38" si="36">L37*SQRT(($F$2/$F$1)^2+(L35/L32)^2)</f>
        <v>#DIV/0!</v>
      </c>
      <c r="M38" s="9" t="str">
        <f t="shared" si="36"/>
        <v>#DIV/0!</v>
      </c>
    </row>
    <row r="40">
      <c r="B40" s="5" t="s">
        <v>24</v>
      </c>
      <c r="D40" s="9" t="str">
        <f t="shared" ref="D40:E40" si="37">$D$1*D37^2/2</f>
        <v>#DIV/0!</v>
      </c>
      <c r="E40" s="9" t="str">
        <f t="shared" si="37"/>
        <v>#DIV/0!</v>
      </c>
      <c r="H40" s="9" t="str">
        <f t="shared" ref="H40:I40" si="38">$D$1*H37^2/2</f>
        <v>#DIV/0!</v>
      </c>
      <c r="I40" s="9" t="str">
        <f t="shared" si="38"/>
        <v>#DIV/0!</v>
      </c>
      <c r="L40" s="9" t="str">
        <f t="shared" ref="L40:M40" si="39">$D$1*L37^2/2</f>
        <v>#DIV/0!</v>
      </c>
      <c r="M40" s="9" t="str">
        <f t="shared" si="39"/>
        <v>#DIV/0!</v>
      </c>
    </row>
    <row r="41">
      <c r="B41" s="5" t="s">
        <v>22</v>
      </c>
      <c r="D41" s="9" t="str">
        <f t="shared" ref="D41:E41" si="40">D40*SQRT(($D$2/$D$1)^2+(2*D38/D37)^2)</f>
        <v>#DIV/0!</v>
      </c>
      <c r="E41" s="9" t="str">
        <f t="shared" si="40"/>
        <v>#DIV/0!</v>
      </c>
      <c r="H41" s="9" t="str">
        <f t="shared" ref="H41:I41" si="41">H40*SQRT(($D$2/$D$1)^2+(2*H38/H37)^2)</f>
        <v>#DIV/0!</v>
      </c>
      <c r="I41" s="9" t="str">
        <f t="shared" si="41"/>
        <v>#DIV/0!</v>
      </c>
      <c r="L41" s="9" t="str">
        <f t="shared" ref="L41:M41" si="42">L40*SQRT(($D$2/$D$1)^2+(2*L38/L37)^2)</f>
        <v>#DIV/0!</v>
      </c>
      <c r="M41" s="9" t="str">
        <f t="shared" si="42"/>
        <v>#DIV/0!</v>
      </c>
    </row>
    <row r="44">
      <c r="A44" s="5" t="s">
        <v>26</v>
      </c>
      <c r="B44" s="5" t="s">
        <v>6</v>
      </c>
      <c r="D44" s="5" t="s">
        <v>7</v>
      </c>
      <c r="E44" s="5" t="s">
        <v>8</v>
      </c>
      <c r="F44" s="5" t="s">
        <v>9</v>
      </c>
      <c r="H44" s="5" t="s">
        <v>10</v>
      </c>
      <c r="I44" s="5" t="s">
        <v>11</v>
      </c>
      <c r="J44" s="5" t="s">
        <v>12</v>
      </c>
      <c r="L44" s="5" t="s">
        <v>13</v>
      </c>
      <c r="M44" s="5" t="s">
        <v>14</v>
      </c>
    </row>
    <row r="45">
      <c r="B45" s="5" t="s">
        <v>15</v>
      </c>
      <c r="D45" s="5" t="s">
        <v>29</v>
      </c>
      <c r="E45" s="5" t="s">
        <v>30</v>
      </c>
      <c r="F45" s="5" t="s">
        <v>29</v>
      </c>
      <c r="H45" s="5" t="s">
        <v>29</v>
      </c>
      <c r="I45" s="8" t="s">
        <v>30</v>
      </c>
      <c r="J45" s="5" t="s">
        <v>29</v>
      </c>
      <c r="L45" s="5" t="s">
        <v>29</v>
      </c>
      <c r="M45" s="5" t="s">
        <v>30</v>
      </c>
    </row>
    <row r="46">
      <c r="D46" s="5" t="s">
        <v>29</v>
      </c>
      <c r="E46" s="5" t="s">
        <v>30</v>
      </c>
      <c r="H46" s="5" t="s">
        <v>29</v>
      </c>
      <c r="I46" s="5" t="s">
        <v>30</v>
      </c>
      <c r="L46" s="5" t="s">
        <v>29</v>
      </c>
      <c r="M46" s="5" t="s">
        <v>30</v>
      </c>
    </row>
    <row r="47">
      <c r="B47" s="5" t="s">
        <v>18</v>
      </c>
      <c r="D47" s="5" t="s">
        <v>29</v>
      </c>
      <c r="E47" s="5" t="s">
        <v>30</v>
      </c>
      <c r="F47" s="5" t="s">
        <v>18</v>
      </c>
      <c r="H47" s="5" t="s">
        <v>29</v>
      </c>
      <c r="I47" s="5" t="s">
        <v>30</v>
      </c>
      <c r="J47" s="5" t="s">
        <v>18</v>
      </c>
      <c r="L47" s="5" t="s">
        <v>29</v>
      </c>
      <c r="M47" s="5" t="s">
        <v>30</v>
      </c>
    </row>
    <row r="48">
      <c r="B48" s="9" t="str">
        <f>E60-D60</f>
        <v>#DIV/0!</v>
      </c>
      <c r="D48" s="5" t="s">
        <v>29</v>
      </c>
      <c r="E48" s="5" t="s">
        <v>30</v>
      </c>
      <c r="F48" s="9" t="str">
        <f>I60-H60</f>
        <v>#DIV/0!</v>
      </c>
      <c r="J48" s="9" t="str">
        <f>M60-L60</f>
        <v>#DIV/0!</v>
      </c>
    </row>
    <row r="49">
      <c r="D49" s="5" t="s">
        <v>29</v>
      </c>
      <c r="E49" s="5" t="s">
        <v>30</v>
      </c>
    </row>
    <row r="50">
      <c r="D50" s="5" t="s">
        <v>29</v>
      </c>
      <c r="E50" s="5" t="s">
        <v>30</v>
      </c>
    </row>
    <row r="52">
      <c r="B52" s="5" t="s">
        <v>19</v>
      </c>
      <c r="D52" s="9" t="str">
        <f t="shared" ref="D52:E52" si="43">AVERAGE(D44:D50)</f>
        <v>#DIV/0!</v>
      </c>
      <c r="E52" s="9" t="str">
        <f t="shared" si="43"/>
        <v>#DIV/0!</v>
      </c>
      <c r="H52" s="9" t="str">
        <f t="shared" ref="H52:I52" si="44">AVERAGE(H44:H50)</f>
        <v>#DIV/0!</v>
      </c>
      <c r="I52" s="9" t="str">
        <f t="shared" si="44"/>
        <v>#DIV/0!</v>
      </c>
      <c r="L52" s="9" t="str">
        <f t="shared" ref="L52:M52" si="45">AVERAGE(L44:L50)</f>
        <v>#DIV/0!</v>
      </c>
      <c r="M52" s="9" t="str">
        <f t="shared" si="45"/>
        <v>#DIV/0!</v>
      </c>
    </row>
    <row r="53">
      <c r="B53" s="5" t="s">
        <v>20</v>
      </c>
      <c r="D53" s="9" t="str">
        <f t="shared" ref="D53:E53" si="46">STDEV(D44:D50)</f>
        <v>#DIV/0!</v>
      </c>
      <c r="E53" s="9" t="str">
        <f t="shared" si="46"/>
        <v>#DIV/0!</v>
      </c>
      <c r="H53" s="9" t="str">
        <f t="shared" ref="H53:I53" si="47">STDEV(H44:H50)</f>
        <v>#DIV/0!</v>
      </c>
      <c r="I53" s="9" t="str">
        <f t="shared" si="47"/>
        <v>#DIV/0!</v>
      </c>
      <c r="L53" s="9" t="str">
        <f t="shared" ref="L53:M53" si="48">STDEV(L44:L50)</f>
        <v>#DIV/0!</v>
      </c>
      <c r="M53" s="9" t="str">
        <f t="shared" si="48"/>
        <v>#DIV/0!</v>
      </c>
    </row>
    <row r="54">
      <c r="B54" s="5" t="s">
        <v>21</v>
      </c>
      <c r="D54" s="9" t="str">
        <f t="shared" ref="D54:E54" si="49">D53/SQRT(6)</f>
        <v>#DIV/0!</v>
      </c>
      <c r="E54" s="9" t="str">
        <f t="shared" si="49"/>
        <v>#DIV/0!</v>
      </c>
      <c r="H54" s="9" t="str">
        <f t="shared" ref="H54:I54" si="50">H53/SQRT(3)</f>
        <v>#DIV/0!</v>
      </c>
      <c r="I54" s="9" t="str">
        <f t="shared" si="50"/>
        <v>#DIV/0!</v>
      </c>
      <c r="L54" s="9" t="str">
        <f t="shared" ref="L54:M54" si="51">L53/SQRT(3)</f>
        <v>#DIV/0!</v>
      </c>
      <c r="M54" s="9" t="str">
        <f t="shared" si="51"/>
        <v>#DIV/0!</v>
      </c>
    </row>
    <row r="55">
      <c r="B55" s="5" t="s">
        <v>22</v>
      </c>
      <c r="D55" s="9" t="str">
        <f>SQRT(D54^2+I42^2)</f>
        <v>#DIV/0!</v>
      </c>
      <c r="E55" s="9" t="str">
        <f>SQRT(E54^2+I42^2)</f>
        <v>#DIV/0!</v>
      </c>
      <c r="H55" s="9" t="str">
        <f>SQRT(H54^2+I42^2)</f>
        <v>#DIV/0!</v>
      </c>
      <c r="I55" s="9" t="str">
        <f>SQRT(I54^2+I42^2)</f>
        <v>#DIV/0!</v>
      </c>
      <c r="L55" s="9" t="str">
        <f>SQRT(L54^2+I42^2)</f>
        <v>#DIV/0!</v>
      </c>
      <c r="M55" s="9" t="str">
        <f>SQRT(M54^2+I42^2)</f>
        <v>#DIV/0!</v>
      </c>
    </row>
    <row r="57">
      <c r="B57" s="5" t="s">
        <v>23</v>
      </c>
      <c r="D57" s="9" t="str">
        <f t="shared" ref="D57:E57" si="52">$F$1/D52</f>
        <v>#DIV/0!</v>
      </c>
      <c r="E57" s="9" t="str">
        <f t="shared" si="52"/>
        <v>#DIV/0!</v>
      </c>
      <c r="H57" s="9" t="str">
        <f t="shared" ref="H57:I57" si="53">$F$1/H52</f>
        <v>#DIV/0!</v>
      </c>
      <c r="I57" s="9" t="str">
        <f t="shared" si="53"/>
        <v>#DIV/0!</v>
      </c>
      <c r="L57" s="9" t="str">
        <f t="shared" ref="L57:M57" si="54">$F$1/L52</f>
        <v>#DIV/0!</v>
      </c>
      <c r="M57" s="9" t="str">
        <f t="shared" si="54"/>
        <v>#DIV/0!</v>
      </c>
    </row>
    <row r="58">
      <c r="B58" s="5" t="s">
        <v>22</v>
      </c>
      <c r="D58" s="9" t="str">
        <f t="shared" ref="D58:E58" si="55">D57*SQRT(($F$2/$F$1)^2+(D55/D52)^2)</f>
        <v>#DIV/0!</v>
      </c>
      <c r="E58" s="9" t="str">
        <f t="shared" si="55"/>
        <v>#DIV/0!</v>
      </c>
      <c r="H58" s="9" t="str">
        <f t="shared" ref="H58:I58" si="56">H57*SQRT(($F$2/$F$1)^2+(H55/H52)^2)</f>
        <v>#DIV/0!</v>
      </c>
      <c r="I58" s="9" t="str">
        <f t="shared" si="56"/>
        <v>#DIV/0!</v>
      </c>
      <c r="L58" s="9" t="str">
        <f t="shared" ref="L58:M58" si="57">L57*SQRT(($F$2/$F$1)^2+(L55/L52)^2)</f>
        <v>#DIV/0!</v>
      </c>
      <c r="M58" s="9" t="str">
        <f t="shared" si="57"/>
        <v>#DIV/0!</v>
      </c>
    </row>
    <row r="60">
      <c r="B60" s="5" t="s">
        <v>24</v>
      </c>
      <c r="D60" s="9" t="str">
        <f t="shared" ref="D60:E60" si="58">$D$1*D57^2/2</f>
        <v>#DIV/0!</v>
      </c>
      <c r="E60" s="9" t="str">
        <f t="shared" si="58"/>
        <v>#DIV/0!</v>
      </c>
      <c r="H60" s="9" t="str">
        <f t="shared" ref="H60:I60" si="59">$D$1*H57^2/2</f>
        <v>#DIV/0!</v>
      </c>
      <c r="I60" s="9" t="str">
        <f t="shared" si="59"/>
        <v>#DIV/0!</v>
      </c>
      <c r="L60" s="9" t="str">
        <f t="shared" ref="L60:M60" si="60">$D$1*L57^2/2</f>
        <v>#DIV/0!</v>
      </c>
      <c r="M60" s="9" t="str">
        <f t="shared" si="60"/>
        <v>#DIV/0!</v>
      </c>
    </row>
    <row r="61">
      <c r="B61" s="5" t="s">
        <v>22</v>
      </c>
      <c r="D61" s="9" t="str">
        <f t="shared" ref="D61:E61" si="61">D60*SQRT(($D$2/$D$1)^2+(2*D58/D57)^2)</f>
        <v>#DIV/0!</v>
      </c>
      <c r="E61" s="9" t="str">
        <f t="shared" si="61"/>
        <v>#DIV/0!</v>
      </c>
      <c r="H61" s="9" t="str">
        <f t="shared" ref="H61:I61" si="62">H60*SQRT(($D$2/$D$1)^2+(2*H58/H57)^2)</f>
        <v>#DIV/0!</v>
      </c>
      <c r="I61" s="9" t="str">
        <f t="shared" si="62"/>
        <v>#DIV/0!</v>
      </c>
      <c r="L61" s="9" t="str">
        <f t="shared" ref="L61:M61" si="63">L60*SQRT(($D$2/$D$1)^2+(2*L58/L57)^2)</f>
        <v>#DIV/0!</v>
      </c>
      <c r="M61" s="9" t="str">
        <f t="shared" si="63"/>
        <v>#DIV/0!</v>
      </c>
    </row>
  </sheetData>
  <drawing r:id="rId1"/>
</worksheet>
</file>